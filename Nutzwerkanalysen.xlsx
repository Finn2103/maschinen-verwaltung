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ndras\dev\schule\projekte\maschinenverwaltung_schulprojekt\"/>
    </mc:Choice>
  </mc:AlternateContent>
  <xr:revisionPtr revIDLastSave="0" documentId="8_{D024CC18-2FCC-4962-A8BB-EB6BF3BE0748}" xr6:coauthVersionLast="47" xr6:coauthVersionMax="47" xr10:uidLastSave="{00000000-0000-0000-0000-000000000000}"/>
  <bookViews>
    <workbookView xWindow="9510" yWindow="0" windowWidth="9780" windowHeight="10170" firstSheet="1" activeTab="2" xr2:uid="{00FA216F-356A-4F22-8CE4-1BD8BA570CA2}"/>
  </bookViews>
  <sheets>
    <sheet name="Framework-Ausschluss" sheetId="1" r:id="rId1"/>
    <sheet name="Framework" sheetId="2" r:id="rId2"/>
    <sheet name="Sprach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5" i="3" l="1"/>
  <c r="D5" i="3"/>
  <c r="H5" i="3"/>
  <c r="J5" i="3"/>
  <c r="J3" i="3"/>
  <c r="J4" i="3"/>
  <c r="J6" i="3"/>
  <c r="J7" i="3"/>
  <c r="J8" i="3"/>
  <c r="J2" i="3"/>
  <c r="J9" i="3" s="1"/>
  <c r="H3" i="3"/>
  <c r="H9" i="3" s="1"/>
  <c r="H4" i="3"/>
  <c r="H6" i="3"/>
  <c r="H7" i="3"/>
  <c r="H8" i="3"/>
  <c r="H2" i="3"/>
  <c r="F3" i="3"/>
  <c r="F4" i="3"/>
  <c r="F6" i="3"/>
  <c r="F7" i="3"/>
  <c r="F8" i="3"/>
  <c r="D3" i="3"/>
  <c r="D4" i="3"/>
  <c r="D6" i="3"/>
  <c r="D7" i="3"/>
  <c r="D8" i="3"/>
  <c r="D2" i="3"/>
  <c r="D9" i="3" s="1"/>
  <c r="F2" i="3"/>
  <c r="I9" i="2"/>
  <c r="I3" i="2"/>
  <c r="I4" i="2"/>
  <c r="I5" i="2"/>
  <c r="I6" i="2"/>
  <c r="I7" i="2"/>
  <c r="I8" i="2"/>
  <c r="I2" i="2"/>
  <c r="G9" i="2"/>
  <c r="G3" i="2"/>
  <c r="G4" i="2"/>
  <c r="G5" i="2"/>
  <c r="G6" i="2"/>
  <c r="G7" i="2"/>
  <c r="G8" i="2"/>
  <c r="G2" i="2"/>
  <c r="E9" i="2"/>
  <c r="E3" i="2"/>
  <c r="E4" i="2"/>
  <c r="E5" i="2"/>
  <c r="E6" i="2"/>
  <c r="E7" i="2"/>
  <c r="E8" i="2"/>
  <c r="E2" i="2"/>
  <c r="C9" i="2"/>
  <c r="F9" i="3" l="1"/>
</calcChain>
</file>

<file path=xl/sharedStrings.xml><?xml version="1.0" encoding="utf-8"?>
<sst xmlns="http://schemas.openxmlformats.org/spreadsheetml/2006/main" count="49" uniqueCount="38">
  <si>
    <t>Ausschlusskriterium</t>
  </si>
  <si>
    <t>React/Next.js</t>
  </si>
  <si>
    <t>Angular</t>
  </si>
  <si>
    <t>Flutter</t>
  </si>
  <si>
    <t>Client-Server-Architektur möglich</t>
  </si>
  <si>
    <t>Barrierefreiheit nach ISO 9241 erreichbar</t>
  </si>
  <si>
    <t>ja</t>
  </si>
  <si>
    <t>ja, über DOM und ARIA</t>
  </si>
  <si>
    <t>ja, mit eigenem Backend</t>
  </si>
  <si>
    <t>eingeschränkt</t>
  </si>
  <si>
    <t>Kriterium</t>
  </si>
  <si>
    <t>Warum</t>
  </si>
  <si>
    <t>Gewicht</t>
  </si>
  <si>
    <t>Eigene Serverschicht im selben Projekt</t>
  </si>
  <si>
    <t>Barrierefreiheit nach ISO 9241</t>
  </si>
  <si>
    <t>Eignung für datenlastige Oberflächen</t>
  </si>
  <si>
    <t>Lernzuwachs im Team</t>
  </si>
  <si>
    <t>Anlaufzeit</t>
  </si>
  <si>
    <t>Dokumentation</t>
  </si>
  <si>
    <t>Betrieb auf der Strato VM ohne Fremddienst</t>
  </si>
  <si>
    <t>Nutzwert</t>
  </si>
  <si>
    <t>Client Server ist Pflicht</t>
  </si>
  <si>
    <t>Pflicht</t>
  </si>
  <si>
    <t>Tabellen, Formulare, Validierung. Wenig Grafik</t>
  </si>
  <si>
    <t>Vorgabe</t>
  </si>
  <si>
    <t>Harter Abgabetermin</t>
  </si>
  <si>
    <t>Keine Erfahrenen Entwickler</t>
  </si>
  <si>
    <t>Infracstructure as Code</t>
  </si>
  <si>
    <t>Typsicherheut vor der Laufzeit</t>
  </si>
  <si>
    <t>Objektorientierung sauber ausdrückbar</t>
  </si>
  <si>
    <t>Passt zur Client-Technologie</t>
  </si>
  <si>
    <t>Typen aus dem Datenbankschema ableitbar</t>
  </si>
  <si>
    <t>Werkzeuge in VS Code</t>
  </si>
  <si>
    <t>TypeScript</t>
  </si>
  <si>
    <t>JavaScript</t>
  </si>
  <si>
    <t>C#</t>
  </si>
  <si>
    <t>C++</t>
  </si>
  <si>
    <t>Eignung für Weboberflächen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</si>
</sst>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0B9E6-481D-4F54-8611-700EB44BBBE2}">
  <dimension ref="A2:D5"/>
  <sheetViews>
    <sheetView zoomScale="85" zoomScaleNormal="85" workbookViewId="0">
      <selection activeCell="A17" sqref="A17"/>
    </sheetView>
  </sheetViews>
  <sheetFormatPr baseColWidth="10" defaultRowHeight="14.5" x14ac:dyDescent="0.35"/>
  <cols>
    <col min="1" max="1" width="34.81640625" bestFit="1" customWidth="1"/>
    <col min="2" max="2" width="19.6328125" bestFit="1" customWidth="1"/>
    <col min="3" max="4" width="21.08984375" bestFit="1" customWidth="1"/>
  </cols>
  <sheetData>
    <row r="2" spans="1:4" x14ac:dyDescent="0.35">
      <c r="A2" t="s">
        <v>0</v>
      </c>
      <c r="B2" t="s">
        <v>1</v>
      </c>
      <c r="C2" t="s">
        <v>2</v>
      </c>
      <c r="D2" t="s">
        <v>3</v>
      </c>
    </row>
    <row r="3" spans="1:4" x14ac:dyDescent="0.35">
      <c r="A3" t="s">
        <v>4</v>
      </c>
      <c r="B3" t="s">
        <v>6</v>
      </c>
      <c r="C3" t="s">
        <v>8</v>
      </c>
      <c r="D3" t="s">
        <v>8</v>
      </c>
    </row>
    <row r="4" spans="1:4" x14ac:dyDescent="0.35">
      <c r="A4" t="s">
        <v>4</v>
      </c>
      <c r="B4" t="s">
        <v>6</v>
      </c>
      <c r="C4" t="s">
        <v>6</v>
      </c>
      <c r="D4" t="s">
        <v>6</v>
      </c>
    </row>
    <row r="5" spans="1:4" x14ac:dyDescent="0.35">
      <c r="A5" t="s">
        <v>5</v>
      </c>
      <c r="B5" t="s">
        <v>7</v>
      </c>
      <c r="C5" t="s">
        <v>7</v>
      </c>
      <c r="D5" t="s">
        <v>9</v>
      </c>
    </row>
  </sheetData>
  <pageMargins left="0.7" right="0.7" top="0.78740157499999996" bottom="0.78740157499999996" header="0.3" footer="0.3"/>
  <headerFooter>
    <oddFooter>&amp;C_x000D_&amp;1#&amp;"Aptos"&amp;10&amp;K000000 INTERNAL / BUSINESS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94605-F44D-49EB-8FE1-170A917FD564}">
  <dimension ref="A1:I9"/>
  <sheetViews>
    <sheetView workbookViewId="0">
      <selection sqref="A1:XFD1048576"/>
    </sheetView>
  </sheetViews>
  <sheetFormatPr baseColWidth="10" defaultRowHeight="14.5" x14ac:dyDescent="0.35"/>
  <cols>
    <col min="1" max="1" width="36" bestFit="1" customWidth="1"/>
    <col min="2" max="2" width="38.26953125" bestFit="1" customWidth="1"/>
    <col min="3" max="3" width="7.453125" bestFit="1" customWidth="1"/>
    <col min="4" max="4" width="11.81640625" bestFit="1" customWidth="1"/>
    <col min="5" max="5" width="4.81640625" bestFit="1" customWidth="1"/>
    <col min="6" max="6" width="6.90625" bestFit="1" customWidth="1"/>
    <col min="7" max="7" width="4.81640625" bestFit="1" customWidth="1"/>
    <col min="8" max="8" width="6.1796875" bestFit="1" customWidth="1"/>
    <col min="9" max="9" width="4.81640625" bestFit="1" customWidth="1"/>
  </cols>
  <sheetData>
    <row r="1" spans="1:9" x14ac:dyDescent="0.35">
      <c r="A1" t="s">
        <v>10</v>
      </c>
      <c r="B1" t="s">
        <v>11</v>
      </c>
      <c r="C1" t="s">
        <v>12</v>
      </c>
      <c r="D1" t="s">
        <v>1</v>
      </c>
      <c r="F1" t="s">
        <v>2</v>
      </c>
      <c r="H1" t="s">
        <v>3</v>
      </c>
    </row>
    <row r="2" spans="1:9" x14ac:dyDescent="0.35">
      <c r="A2" t="s">
        <v>13</v>
      </c>
      <c r="B2" t="s">
        <v>21</v>
      </c>
      <c r="C2">
        <v>0.2</v>
      </c>
      <c r="D2">
        <v>5</v>
      </c>
      <c r="E2">
        <f>C2*D2</f>
        <v>1</v>
      </c>
      <c r="F2">
        <v>2</v>
      </c>
      <c r="G2">
        <f>C2*F2</f>
        <v>0.4</v>
      </c>
      <c r="H2">
        <v>1</v>
      </c>
      <c r="I2">
        <f>C2*H2</f>
        <v>0.2</v>
      </c>
    </row>
    <row r="3" spans="1:9" x14ac:dyDescent="0.35">
      <c r="A3" t="s">
        <v>14</v>
      </c>
      <c r="B3" t="s">
        <v>22</v>
      </c>
      <c r="C3">
        <v>0.2</v>
      </c>
      <c r="D3">
        <v>5</v>
      </c>
      <c r="E3">
        <f t="shared" ref="E3:E8" si="0">C3*D3</f>
        <v>1</v>
      </c>
      <c r="F3">
        <v>5</v>
      </c>
      <c r="G3">
        <f t="shared" ref="G3:G8" si="1">C3*F3</f>
        <v>1</v>
      </c>
      <c r="H3">
        <v>2</v>
      </c>
      <c r="I3">
        <f t="shared" ref="I3:I8" si="2">C3*H3</f>
        <v>0.4</v>
      </c>
    </row>
    <row r="4" spans="1:9" x14ac:dyDescent="0.35">
      <c r="A4" t="s">
        <v>15</v>
      </c>
      <c r="B4" t="s">
        <v>23</v>
      </c>
      <c r="C4">
        <v>0.15</v>
      </c>
      <c r="D4">
        <v>4</v>
      </c>
      <c r="E4">
        <f t="shared" si="0"/>
        <v>0.6</v>
      </c>
      <c r="F4">
        <v>5</v>
      </c>
      <c r="G4">
        <f t="shared" si="1"/>
        <v>0.75</v>
      </c>
      <c r="H4">
        <v>2</v>
      </c>
      <c r="I4">
        <f t="shared" si="2"/>
        <v>0.3</v>
      </c>
    </row>
    <row r="5" spans="1:9" x14ac:dyDescent="0.35">
      <c r="A5" t="s">
        <v>16</v>
      </c>
      <c r="B5" t="s">
        <v>24</v>
      </c>
      <c r="C5">
        <v>0.15</v>
      </c>
      <c r="D5">
        <v>4</v>
      </c>
      <c r="E5">
        <f t="shared" si="0"/>
        <v>0.6</v>
      </c>
      <c r="F5">
        <v>5</v>
      </c>
      <c r="G5">
        <f t="shared" si="1"/>
        <v>0.75</v>
      </c>
      <c r="H5">
        <v>5</v>
      </c>
      <c r="I5">
        <f t="shared" si="2"/>
        <v>0.75</v>
      </c>
    </row>
    <row r="6" spans="1:9" x14ac:dyDescent="0.35">
      <c r="A6" t="s">
        <v>17</v>
      </c>
      <c r="B6" t="s">
        <v>25</v>
      </c>
      <c r="C6">
        <v>0.15</v>
      </c>
      <c r="D6">
        <v>4</v>
      </c>
      <c r="E6">
        <f t="shared" si="0"/>
        <v>0.6</v>
      </c>
      <c r="F6">
        <v>2</v>
      </c>
      <c r="G6">
        <f t="shared" si="1"/>
        <v>0.3</v>
      </c>
      <c r="H6">
        <v>2</v>
      </c>
      <c r="I6">
        <f t="shared" si="2"/>
        <v>0.3</v>
      </c>
    </row>
    <row r="7" spans="1:9" x14ac:dyDescent="0.35">
      <c r="A7" t="s">
        <v>18</v>
      </c>
      <c r="B7" t="s">
        <v>26</v>
      </c>
      <c r="C7">
        <v>0.1</v>
      </c>
      <c r="D7">
        <v>5</v>
      </c>
      <c r="E7">
        <f t="shared" si="0"/>
        <v>0.5</v>
      </c>
      <c r="F7">
        <v>4</v>
      </c>
      <c r="G7">
        <f t="shared" si="1"/>
        <v>0.4</v>
      </c>
      <c r="H7">
        <v>3</v>
      </c>
      <c r="I7">
        <f t="shared" si="2"/>
        <v>0.30000000000000004</v>
      </c>
    </row>
    <row r="8" spans="1:9" x14ac:dyDescent="0.35">
      <c r="A8" t="s">
        <v>19</v>
      </c>
      <c r="B8" t="s">
        <v>27</v>
      </c>
      <c r="C8">
        <v>0.05</v>
      </c>
      <c r="D8">
        <v>5</v>
      </c>
      <c r="E8">
        <f t="shared" si="0"/>
        <v>0.25</v>
      </c>
      <c r="F8">
        <v>4</v>
      </c>
      <c r="G8">
        <f t="shared" si="1"/>
        <v>0.2</v>
      </c>
      <c r="H8">
        <v>3</v>
      </c>
      <c r="I8">
        <f t="shared" si="2"/>
        <v>0.15000000000000002</v>
      </c>
    </row>
    <row r="9" spans="1:9" x14ac:dyDescent="0.35">
      <c r="A9" t="s">
        <v>20</v>
      </c>
      <c r="C9">
        <f>SUM(C2:C8)</f>
        <v>1</v>
      </c>
      <c r="E9">
        <f>SUM(E2:E8)</f>
        <v>4.5500000000000007</v>
      </c>
      <c r="G9">
        <f>SUM(G2:G8)</f>
        <v>3.8</v>
      </c>
      <c r="I9">
        <f>SUM(I2:I8)</f>
        <v>2.4</v>
      </c>
    </row>
  </sheetData>
  <pageMargins left="0.7" right="0.7" top="0.78740157499999996" bottom="0.78740157499999996" header="0.3" footer="0.3"/>
  <headerFooter>
    <oddFooter>&amp;C_x000D_&amp;1#&amp;"Aptos"&amp;10&amp;K000000 INTERNAL / BUSINESS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BBA5E-FEAD-4537-8C92-A0D656E7EBB8}">
  <dimension ref="A1:J9"/>
  <sheetViews>
    <sheetView tabSelected="1" workbookViewId="0">
      <selection activeCell="B7" sqref="B7"/>
    </sheetView>
  </sheetViews>
  <sheetFormatPr baseColWidth="10" defaultRowHeight="14.5" x14ac:dyDescent="0.35"/>
  <cols>
    <col min="1" max="1" width="36.36328125" bestFit="1" customWidth="1"/>
    <col min="2" max="2" width="7.453125" bestFit="1" customWidth="1"/>
    <col min="3" max="3" width="9.26953125" bestFit="1" customWidth="1"/>
    <col min="4" max="4" width="4.81640625" bestFit="1" customWidth="1"/>
    <col min="5" max="5" width="9" bestFit="1" customWidth="1"/>
    <col min="6" max="6" width="4.81640625" bestFit="1" customWidth="1"/>
    <col min="7" max="7" width="3.08984375" bestFit="1" customWidth="1"/>
    <col min="8" max="8" width="4.81640625" bestFit="1" customWidth="1"/>
    <col min="9" max="9" width="4.08984375" bestFit="1" customWidth="1"/>
    <col min="10" max="10" width="4.81640625" bestFit="1" customWidth="1"/>
  </cols>
  <sheetData>
    <row r="1" spans="1:10" x14ac:dyDescent="0.35">
      <c r="B1" t="s">
        <v>12</v>
      </c>
      <c r="C1" t="s">
        <v>33</v>
      </c>
      <c r="E1" t="s">
        <v>34</v>
      </c>
      <c r="G1" t="s">
        <v>35</v>
      </c>
      <c r="I1" t="s">
        <v>36</v>
      </c>
    </row>
    <row r="2" spans="1:10" x14ac:dyDescent="0.35">
      <c r="A2" t="s">
        <v>28</v>
      </c>
      <c r="B2">
        <v>0.2</v>
      </c>
      <c r="C2">
        <v>4</v>
      </c>
      <c r="D2">
        <f>B2*C2</f>
        <v>0.8</v>
      </c>
      <c r="E2">
        <v>1</v>
      </c>
      <c r="F2">
        <f>SUM(B2*E2)</f>
        <v>0.2</v>
      </c>
      <c r="G2">
        <v>5</v>
      </c>
      <c r="H2">
        <f>B2*G2</f>
        <v>1</v>
      </c>
      <c r="I2">
        <v>5</v>
      </c>
      <c r="J2">
        <f>B2*I2</f>
        <v>1</v>
      </c>
    </row>
    <row r="3" spans="1:10" x14ac:dyDescent="0.35">
      <c r="A3" t="s">
        <v>29</v>
      </c>
      <c r="B3">
        <v>0.2</v>
      </c>
      <c r="C3">
        <v>4</v>
      </c>
      <c r="D3">
        <f t="shared" ref="D3:D8" si="0">B3*C3</f>
        <v>0.8</v>
      </c>
      <c r="E3">
        <v>3</v>
      </c>
      <c r="F3">
        <f t="shared" ref="F3:F8" si="1">SUM(B3*E3)</f>
        <v>0.60000000000000009</v>
      </c>
      <c r="G3">
        <v>5</v>
      </c>
      <c r="H3">
        <f t="shared" ref="H3:H8" si="2">B3*G3</f>
        <v>1</v>
      </c>
      <c r="I3">
        <v>5</v>
      </c>
      <c r="J3">
        <f t="shared" ref="J3:J8" si="3">B3*I3</f>
        <v>1</v>
      </c>
    </row>
    <row r="4" spans="1:10" x14ac:dyDescent="0.35">
      <c r="A4" t="s">
        <v>30</v>
      </c>
      <c r="B4">
        <v>0.2</v>
      </c>
      <c r="C4">
        <v>5</v>
      </c>
      <c r="D4">
        <f t="shared" si="0"/>
        <v>1</v>
      </c>
      <c r="E4">
        <v>5</v>
      </c>
      <c r="F4">
        <f t="shared" si="1"/>
        <v>1</v>
      </c>
      <c r="G4">
        <v>1</v>
      </c>
      <c r="H4">
        <f t="shared" si="2"/>
        <v>0.2</v>
      </c>
      <c r="I4">
        <v>1</v>
      </c>
      <c r="J4">
        <f t="shared" si="3"/>
        <v>0.2</v>
      </c>
    </row>
    <row r="5" spans="1:10" x14ac:dyDescent="0.35">
      <c r="A5" t="s">
        <v>37</v>
      </c>
      <c r="B5">
        <v>0.15</v>
      </c>
      <c r="C5">
        <v>5</v>
      </c>
      <c r="D5">
        <f t="shared" si="0"/>
        <v>0.75</v>
      </c>
      <c r="E5">
        <v>5</v>
      </c>
      <c r="F5">
        <f t="shared" si="1"/>
        <v>0.75</v>
      </c>
      <c r="G5">
        <v>1</v>
      </c>
      <c r="H5">
        <f t="shared" si="2"/>
        <v>0.15</v>
      </c>
      <c r="I5">
        <v>1</v>
      </c>
      <c r="J5">
        <f t="shared" si="3"/>
        <v>0.15</v>
      </c>
    </row>
    <row r="6" spans="1:10" x14ac:dyDescent="0.35">
      <c r="A6" t="s">
        <v>16</v>
      </c>
      <c r="B6">
        <v>0.15</v>
      </c>
      <c r="C6">
        <v>4</v>
      </c>
      <c r="D6">
        <f t="shared" si="0"/>
        <v>0.6</v>
      </c>
      <c r="E6">
        <v>4</v>
      </c>
      <c r="F6">
        <f t="shared" si="1"/>
        <v>0.6</v>
      </c>
      <c r="G6">
        <v>5</v>
      </c>
      <c r="H6">
        <f t="shared" si="2"/>
        <v>0.75</v>
      </c>
      <c r="I6">
        <v>1</v>
      </c>
      <c r="J6">
        <f t="shared" si="3"/>
        <v>0.15</v>
      </c>
    </row>
    <row r="7" spans="1:10" x14ac:dyDescent="0.35">
      <c r="A7" t="s">
        <v>31</v>
      </c>
      <c r="B7">
        <v>0.1</v>
      </c>
      <c r="C7">
        <v>5</v>
      </c>
      <c r="D7">
        <f t="shared" si="0"/>
        <v>0.5</v>
      </c>
      <c r="E7">
        <v>5</v>
      </c>
      <c r="F7">
        <f t="shared" si="1"/>
        <v>0.5</v>
      </c>
      <c r="G7">
        <v>4</v>
      </c>
      <c r="H7">
        <f t="shared" si="2"/>
        <v>0.4</v>
      </c>
      <c r="I7">
        <v>2</v>
      </c>
      <c r="J7">
        <f t="shared" si="3"/>
        <v>0.2</v>
      </c>
    </row>
    <row r="8" spans="1:10" x14ac:dyDescent="0.35">
      <c r="A8" t="s">
        <v>32</v>
      </c>
      <c r="B8">
        <v>0.1</v>
      </c>
      <c r="C8">
        <v>5</v>
      </c>
      <c r="D8">
        <f t="shared" si="0"/>
        <v>0.5</v>
      </c>
      <c r="E8">
        <v>5</v>
      </c>
      <c r="F8">
        <f t="shared" si="1"/>
        <v>0.5</v>
      </c>
      <c r="G8">
        <v>3</v>
      </c>
      <c r="H8">
        <f t="shared" si="2"/>
        <v>0.30000000000000004</v>
      </c>
      <c r="I8">
        <v>2</v>
      </c>
      <c r="J8">
        <f t="shared" si="3"/>
        <v>0.2</v>
      </c>
    </row>
    <row r="9" spans="1:10" x14ac:dyDescent="0.35">
      <c r="D9">
        <f>SUM(D2:D8)</f>
        <v>4.95</v>
      </c>
      <c r="F9">
        <f>SUM(F2:F8)</f>
        <v>4.1500000000000004</v>
      </c>
      <c r="H9">
        <f>SUM(H2:H8)</f>
        <v>3.8</v>
      </c>
      <c r="I9">
        <v>3</v>
      </c>
      <c r="J9">
        <f>SUM(J2:J8)</f>
        <v>2.9000000000000004</v>
      </c>
    </row>
  </sheetData>
  <pageMargins left="0.7" right="0.7" top="0.78740157499999996" bottom="0.78740157499999996" header="0.3" footer="0.3"/>
  <headerFooter>
    <oddFooter>&amp;C_x000D_&amp;1#&amp;"Aptos"&amp;10&amp;K000000 INTERNAL / BUSINESS</oddFooter>
  </headerFooter>
</worksheet>
</file>

<file path=docMetadata/LabelInfo.xml><?xml version="1.0" encoding="utf-8"?>
<clbl:labelList xmlns:clbl="http://schemas.microsoft.com/office/2020/mipLabelMetadata">
  <clbl:label id="{4a7c7427-fc30-445b-85ac-c6000ccc57be}" enabled="1" method="Standard" siteId="{87101f8d-63f2-4967-a646-379f08b73ca4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Framework-Ausschluss</vt:lpstr>
      <vt:lpstr>Framework</vt:lpstr>
      <vt:lpstr>Sprache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Jendras, Finn</dc:creator>
  <cp:lastModifiedBy>Jendras, Finn</cp:lastModifiedBy>
  <dcterms:created xsi:type="dcterms:W3CDTF">2026-09-18T06:16:14Z</dcterms:created>
  <dcterms:modified xsi:type="dcterms:W3CDTF">2026-09-18T06:58:00Z</dcterms:modified>
</cp:coreProperties>
</file>